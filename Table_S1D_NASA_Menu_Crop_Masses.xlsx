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jithran.w.e/Documents/Anaerobic_Digestion/AD Paper 1/Supplementary Tables/"/>
    </mc:Choice>
  </mc:AlternateContent>
  <xr:revisionPtr revIDLastSave="0" documentId="8_{2C0C71E9-8082-8B41-8C03-1964A7769613}" xr6:coauthVersionLast="47" xr6:coauthVersionMax="47" xr10:uidLastSave="{00000000-0000-0000-0000-000000000000}"/>
  <bookViews>
    <workbookView xWindow="0" yWindow="760" windowWidth="30240" windowHeight="17800" activeTab="1" xr2:uid="{BB148D6F-54B7-CE4A-AC52-F8709BED4B1C}"/>
  </bookViews>
  <sheets>
    <sheet name=" NASA Vegetarian Menu" sheetId="1" r:id="rId1"/>
    <sheet name=" NASA Mixed Menu" sheetId="4" r:id="rId2"/>
    <sheet name="BVAD Menu"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3" l="1"/>
  <c r="F18" i="3"/>
  <c r="F17" i="3"/>
  <c r="F16" i="3"/>
  <c r="F15" i="3"/>
  <c r="F13" i="3"/>
  <c r="F14" i="3"/>
  <c r="F12" i="3"/>
  <c r="F11" i="3"/>
  <c r="F10" i="3"/>
  <c r="F9" i="3"/>
  <c r="F8" i="3"/>
  <c r="F7" i="3"/>
  <c r="F6" i="3"/>
  <c r="F5" i="3"/>
  <c r="F4" i="3"/>
  <c r="E14" i="1"/>
  <c r="E9" i="4"/>
  <c r="E15" i="1"/>
  <c r="E16" i="1" s="1"/>
  <c r="E17" i="1" s="1"/>
  <c r="E18" i="1" s="1"/>
  <c r="E19" i="1" s="1"/>
  <c r="E20" i="1" s="1"/>
  <c r="E21" i="1" s="1"/>
  <c r="E22" i="1" s="1"/>
  <c r="E23" i="1" s="1"/>
  <c r="E24" i="1" s="1"/>
  <c r="E25" i="1" s="1"/>
  <c r="E26" i="1" s="1"/>
  <c r="E27" i="1" s="1"/>
  <c r="E28" i="1" s="1"/>
  <c r="E14" i="4" l="1"/>
  <c r="E15" i="4" s="1"/>
  <c r="E16" i="4" s="1"/>
  <c r="E17" i="4" s="1"/>
  <c r="E18" i="4" s="1"/>
  <c r="E19" i="4" s="1"/>
  <c r="E20" i="4" s="1"/>
  <c r="E21" i="4" s="1"/>
  <c r="E22" i="4" s="1"/>
  <c r="E23" i="4" s="1"/>
  <c r="E24" i="4" s="1"/>
  <c r="E25" i="4" s="1"/>
  <c r="E26" i="4" s="1"/>
  <c r="E27" i="4" s="1"/>
  <c r="E28" i="4" s="1"/>
  <c r="E29" i="4" s="1"/>
  <c r="E30" i="4" s="1"/>
  <c r="E9" i="1"/>
</calcChain>
</file>

<file path=xl/sharedStrings.xml><?xml version="1.0" encoding="utf-8"?>
<sst xmlns="http://schemas.openxmlformats.org/spreadsheetml/2006/main" count="235" uniqueCount="143">
  <si>
    <t>Wheat</t>
  </si>
  <si>
    <t>Rice</t>
  </si>
  <si>
    <t>Lettuce</t>
  </si>
  <si>
    <t>Spinach</t>
  </si>
  <si>
    <t>Peanuts</t>
  </si>
  <si>
    <t>Soybeans</t>
  </si>
  <si>
    <t>Peas</t>
  </si>
  <si>
    <t>Strawberries</t>
  </si>
  <si>
    <t>Peppers</t>
  </si>
  <si>
    <t>Carrots</t>
  </si>
  <si>
    <t>Tomatoes</t>
  </si>
  <si>
    <t>Dry Beans</t>
  </si>
  <si>
    <t>Green Onions</t>
  </si>
  <si>
    <t>Radishes</t>
  </si>
  <si>
    <t>Sweet Potatoes</t>
  </si>
  <si>
    <t>White Potatoes</t>
  </si>
  <si>
    <t>Cabbages</t>
  </si>
  <si>
    <t>BVAD Crop</t>
  </si>
  <si>
    <t>Example Usage in NASA Vegetarian Menu</t>
  </si>
  <si>
    <t>Diet Type</t>
  </si>
  <si>
    <t>Crops (kg) [Grown in situ]</t>
  </si>
  <si>
    <t>Bulk commodities &amp; minors (kg) [Shipped foods]</t>
  </si>
  <si>
    <t>Prepared foods (kg) [Shipped foods]</t>
  </si>
  <si>
    <t>Vegetarian Menu</t>
  </si>
  <si>
    <t>Mixed Menu</t>
  </si>
  <si>
    <t>No. of Astronauts</t>
  </si>
  <si>
    <t>Mission Duration (d)</t>
  </si>
  <si>
    <t>No.of Crops</t>
  </si>
  <si>
    <t>Daily Crop Mass (g)</t>
  </si>
  <si>
    <t>Example Usage in NASA Mixed Menu</t>
  </si>
  <si>
    <t>Sweet Potato</t>
  </si>
  <si>
    <t>Snap Beans</t>
  </si>
  <si>
    <t>Red Beet</t>
  </si>
  <si>
    <t>Pepper</t>
  </si>
  <si>
    <t>Carrot</t>
  </si>
  <si>
    <t>Tomato</t>
  </si>
  <si>
    <t>Radish</t>
  </si>
  <si>
    <t>Chard</t>
  </si>
  <si>
    <t>Onion</t>
  </si>
  <si>
    <t>Green Onion</t>
  </si>
  <si>
    <t>Celery</t>
  </si>
  <si>
    <t>Celery Sticks</t>
  </si>
  <si>
    <t>Cabbage</t>
  </si>
  <si>
    <t>Southern Fried Cabbage</t>
  </si>
  <si>
    <t>Lettuce Wedges</t>
  </si>
  <si>
    <t>None</t>
  </si>
  <si>
    <t>Peanut Butter and Jam Sandwich, Chicken w/ Peanut Sauce, African Sweet Potato &amp; Peanut Soup, Peanut Butter Maple Topping, Chocolate Peanut Butter Milkshake</t>
  </si>
  <si>
    <t>Spanish Rice, Rice Milk, Rice w/ Sugar, Chocolate Rice Milk, Brown Rice, Steamed Rice, Rice Pudding</t>
  </si>
  <si>
    <t>Sweet Potato and Black Bean Burrito, Black Bean Chili, Black Beans, Pinto Bean Pie</t>
  </si>
  <si>
    <t>Chocolate Soy Milk, Vanilla Soy Milk, Soy Mocha Beverage, Soy Wheat Crepes with Strawberries</t>
  </si>
  <si>
    <t>Whole Wheat Bread, Wheat Pasta, Whole Wheat Tortillas, Whole Wheat Biscuits</t>
  </si>
  <si>
    <t>Glazed Carrots and Peas, Steamed Peas</t>
  </si>
  <si>
    <t>Sweet Potato and Black Bean Burrito, Sweet Potato Mini Muffins, Mashed Sweet Potatoes, Sweet Potato Pancake, African Sweet Potato &amp; Peanut Soup, Sweet Potato and Red Pepper Home Fries, Sweet Potato Fries, White Bean Sweet Potato and Pepper Ragout</t>
  </si>
  <si>
    <t>Strawberry Jam, Strawberry Shortcake, Fresh Strawberries, Strawberry Sorbet, Spinach Strawberry Salad, Soy Wheat Crepes with Strawberries</t>
  </si>
  <si>
    <t>Scalloped Potatoes and Carrots, Roasted Potatoes, Baked Potatoes, Cream of Potato and Spinach Soup, Herb Stuffing with Potatoes, Garlic Mashed Potatoes</t>
  </si>
  <si>
    <t>Sweet Potato and Red Pepper Home Fries, White Bean Sweet Potato and Pepper Ragout</t>
  </si>
  <si>
    <t>Scalloped Potatoes and Carrots, Glazed Carrots and Peas, Carrot Bagels, Carrot Dill Bread, Mustard Carrots, Carrot Juice, Carrot Sticks, Vegetarian Loaf with Carrots and Gravy, Carrot Hash Browns</t>
  </si>
  <si>
    <t>Spinach and Tomato Crouton Salad, Sundried Tomato and Basil Dressing, Fresh Tomato Juice with Basil, Vegetable Tomato Sauce for Pasta, Marinated Cherry Tomato Salad, Tomato Salsa, Tomato and Bakon Pasta</t>
  </si>
  <si>
    <t>Spinach and Tomato Crouton Salad, Lentil and Spinach Soup, Spinach Bread, Sautéed Spinach with Garlic, Spinach Strawberry Salad, Cream of Potato and Spinach Soup</t>
  </si>
  <si>
    <t>Referenced BVAD Crop</t>
  </si>
  <si>
    <t>All menu items from Cooper MR, Catauro P, and Perchonok M. “Development and Evaluation of Bioregenerative Menus for Mars
Habitat Missions”. Acta Astronaut. 81.2 (2012), pp. 555–562. (doi:10.1016/j.actaastro.2012.08.035).</t>
  </si>
  <si>
    <t>Table 7 from Cooper MR, Catauro P, and Perchonok M. “Development and Evaluation of Bioregenerative Menus for Mars
Habitat Missions”. Acta Astronaut. 81.2 (2012), pp. 555–562. (doi:10.1016/j.actaastro.2012.08.035).</t>
  </si>
  <si>
    <t>Estimated Average Mass in NASA Mixed Menu (g)</t>
  </si>
  <si>
    <t>Estimated Average Mass in NASA Vegetarian Menu (g)</t>
  </si>
  <si>
    <t>Mushroom</t>
  </si>
  <si>
    <t>Tofu Mushroom Stroganoff, White Sauce with Mushrooms</t>
  </si>
  <si>
    <t>Peanut</t>
  </si>
  <si>
    <t>African Sweet Potato &amp; Peanut Soup, Chocolate Peanut Butter Milkshake, Peanut Butter and Jam Sandwich, Peanut Butter Maple Topping</t>
  </si>
  <si>
    <t>Brown Rice, Chocolate Rice Milk, Raggedy Rice Patties, Rice Milk, Rice Pudding, Spanish Rice</t>
  </si>
  <si>
    <t>Black Bean Chili, Pinto Bean Dip, Pinto Bean Pie, Sweet Potato and Black Bean Burrito, White Bean Sweet Potato and Pepper Ragout</t>
  </si>
  <si>
    <t>Chocolate Soy Milk, Soy Mocha Beverage, Soy Vanilla Pudding, Soy Wheat Crepes with Strawberries, Vanilla Soy Milk</t>
  </si>
  <si>
    <t>Soy Wheat Crepes with Strawberries, Wheat Pasta, Wheat Pasta Arrabbiata Pasta Sauce, Whole Wheat Bread, Whole Wheat Tortillas</t>
  </si>
  <si>
    <t>Pea</t>
  </si>
  <si>
    <t>African Sweet Potato &amp; Peanut Soup, Sweet Potato and Black Bean Burrito, Sweet Potato and Red Pepper Home Fries, Sweet Potato Fries, Sweet Potato Mini Muffins, Sweet Potato Pancake, White Bean Sweet Potato and Pepper Ragout</t>
  </si>
  <si>
    <t>Strawberry</t>
  </si>
  <si>
    <t>Soy Wheat Crepes with Strawberries, Strawberry Jam, Strawberry Muffin, Strawberry Shortcake, Strawberry Sorbet</t>
  </si>
  <si>
    <t>Snap Bean</t>
  </si>
  <si>
    <t>African Sweet Potato &amp; Peanut Soup, Baked Potatoes, Cream of Potato and Spinach Soup, Garlic Mashed Potatoes, Roasted Potatoes, Sweet Potato and Black Bean Burrito, Sweet Potato and Red Pepper Home Fries, Sweet Potato Fries, Sweet Potato Mini Muffins, Sweet Potato Pancake, White Bean Sweet Potato and Pepper Ragout</t>
  </si>
  <si>
    <t>Carrot Bagels, Carrot Dill Bread, Carrot Hash Browns, Carrot Juice, Glazed Carrots and Peas, Mustard Carrots, Vegetarian Loaf with Carrots and Gravy</t>
  </si>
  <si>
    <t>Fresh Tomato Juice with Basil, Spinach and Tomato Crouton Salad, Sundried Tomato and Basil Dressing, Tomato and Bakon Pasta, Tomato Salsa, Vegetable Tomato Sauce for Pasta</t>
  </si>
  <si>
    <t>Cream of Potato and Spinach Soup, Lentil and Spinach Soup, Sautéed Spinach with Garlic, Spinach and Tomato Crouton Salad, Spinach Bread</t>
  </si>
  <si>
    <t>No explicit mention</t>
  </si>
  <si>
    <t>Dry Bean</t>
  </si>
  <si>
    <t>Soybean</t>
  </si>
  <si>
    <t>White Potato</t>
  </si>
  <si>
    <t xml:space="preserve"> </t>
  </si>
  <si>
    <t>Example Usage in BVAD Menu (Table 4-52)</t>
  </si>
  <si>
    <t>Daily Menu Ingredient Mass [g/d]</t>
  </si>
  <si>
    <t>cabbage</t>
  </si>
  <si>
    <t>cabbage, shredded</t>
  </si>
  <si>
    <t>carrot</t>
  </si>
  <si>
    <t>carrot, whole</t>
  </si>
  <si>
    <t>carrots, grated</t>
  </si>
  <si>
    <t>carrots, shredded</t>
  </si>
  <si>
    <t>carrots, sliced/chopped</t>
  </si>
  <si>
    <t>dry bean</t>
  </si>
  <si>
    <t>black beans, uncooked</t>
  </si>
  <si>
    <t>kidney beans, uncooked</t>
  </si>
  <si>
    <t>lentils, uncooked</t>
  </si>
  <si>
    <t>navy beans, uncooked</t>
  </si>
  <si>
    <t>pinto beans, uncooked</t>
  </si>
  <si>
    <t>green onion</t>
  </si>
  <si>
    <t>green onion, chopped</t>
  </si>
  <si>
    <t>lettuce</t>
  </si>
  <si>
    <t>peanut</t>
  </si>
  <si>
    <t>oil, peanut</t>
  </si>
  <si>
    <t>peanut butter</t>
  </si>
  <si>
    <t>peanuts w/o shell</t>
  </si>
  <si>
    <t>peppers</t>
  </si>
  <si>
    <t>bell pepper, whole</t>
  </si>
  <si>
    <t>radish</t>
  </si>
  <si>
    <t>rice</t>
  </si>
  <si>
    <t>brown rice, uncooked</t>
  </si>
  <si>
    <t>white rice, uncooked</t>
  </si>
  <si>
    <t>soybean</t>
  </si>
  <si>
    <t>soybeans, uncooked</t>
  </si>
  <si>
    <t>soymilk</t>
  </si>
  <si>
    <t>textured soy protein</t>
  </si>
  <si>
    <t>tofu, firm</t>
  </si>
  <si>
    <t>tofu, soft</t>
  </si>
  <si>
    <t>spinach</t>
  </si>
  <si>
    <t>spinach salad</t>
  </si>
  <si>
    <t>strawberry</t>
  </si>
  <si>
    <t>strawberries</t>
  </si>
  <si>
    <t>sweet potato</t>
  </si>
  <si>
    <t>sweet potato, mashed</t>
  </si>
  <si>
    <t>sweet potato, sliced</t>
  </si>
  <si>
    <t>tomato</t>
  </si>
  <si>
    <t>tomato, diced</t>
  </si>
  <si>
    <t>tomato, dried</t>
  </si>
  <si>
    <t>tomato, paste</t>
  </si>
  <si>
    <t>tomato, sauce</t>
  </si>
  <si>
    <t>tomato, whole</t>
  </si>
  <si>
    <t>wheat</t>
  </si>
  <si>
    <t>wheat flour</t>
  </si>
  <si>
    <t>white flour</t>
  </si>
  <si>
    <t>white potato</t>
  </si>
  <si>
    <t>potato, white</t>
  </si>
  <si>
    <t>potato, white/peeled</t>
  </si>
  <si>
    <t>potato, white/shredded</t>
  </si>
  <si>
    <t>potato, white/sliced/diced</t>
  </si>
  <si>
    <t>All menu items and masses from BVAD Table 4-52 (Ewert MK, Chen TT, and Powell CD. Life Support Baseline Values and Assumptions Document. Tech. rep. NASA/TP-2015–218570/REV2. NASA, 2022.)</t>
  </si>
  <si>
    <t>Total in NASA BVAD Menu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</si>
</sst>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Calibri"/>
      <family val="2"/>
    </font>
    <font>
      <sz val="12"/>
      <color theme="1"/>
      <name val="Calibri"/>
      <family val="2"/>
    </font>
    <font>
      <b/>
      <sz val="12"/>
      <color rgb="FF000000"/>
      <name val="Calibri"/>
      <family val="2"/>
    </font>
    <font>
      <sz val="12"/>
      <color rgb="FF000000"/>
      <name val="Calibri"/>
      <family val="2"/>
    </font>
    <font>
      <b/>
      <sz val="12"/>
      <color rgb="FFFF0000"/>
      <name val="Calibri"/>
      <family val="2"/>
    </font>
    <font>
      <b/>
      <sz val="11"/>
      <color theme="1"/>
      <name val="Aptos Narrow"/>
      <family val="2"/>
      <scheme val="minor"/>
    </font>
    <font>
      <i/>
      <sz val="12"/>
      <color theme="1"/>
      <name val="Aptos Narrow"/>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40">
    <xf numFmtId="0" fontId="0" fillId="0" borderId="0" xfId="0"/>
    <xf numFmtId="0" fontId="0" fillId="0" borderId="1" xfId="0" applyBorder="1"/>
    <xf numFmtId="0" fontId="1" fillId="0" borderId="1" xfId="0" applyFont="1" applyBorder="1"/>
    <xf numFmtId="0" fontId="2" fillId="0" borderId="0" xfId="0" applyFont="1"/>
    <xf numFmtId="0" fontId="1" fillId="0" borderId="1" xfId="0" applyFont="1" applyBorder="1" applyAlignment="1">
      <alignment vertical="center"/>
    </xf>
    <xf numFmtId="0" fontId="2" fillId="0" borderId="1" xfId="0" applyFont="1" applyBorder="1"/>
    <xf numFmtId="0" fontId="2" fillId="0" borderId="1" xfId="0" applyFont="1" applyBorder="1" applyAlignment="1">
      <alignment vertical="center"/>
    </xf>
    <xf numFmtId="0" fontId="2" fillId="0" borderId="0" xfId="0" applyFont="1" applyAlignment="1">
      <alignment vertical="center"/>
    </xf>
    <xf numFmtId="0" fontId="1" fillId="0" borderId="0" xfId="0" applyFont="1" applyAlignment="1">
      <alignment vertical="center"/>
    </xf>
    <xf numFmtId="0" fontId="2" fillId="0" borderId="0" xfId="0" applyFont="1" applyBorder="1"/>
    <xf numFmtId="0" fontId="4" fillId="0" borderId="1" xfId="0" applyFont="1" applyBorder="1"/>
    <xf numFmtId="0" fontId="5" fillId="0" borderId="1" xfId="0" applyFont="1" applyBorder="1" applyAlignment="1">
      <alignment vertical="center"/>
    </xf>
    <xf numFmtId="0" fontId="5" fillId="2" borderId="1" xfId="0" applyFont="1" applyFill="1" applyBorder="1"/>
    <xf numFmtId="0" fontId="4" fillId="0" borderId="0" xfId="0" applyFont="1" applyBorder="1"/>
    <xf numFmtId="0" fontId="1" fillId="0" borderId="1" xfId="0" applyFont="1" applyBorder="1" applyAlignment="1">
      <alignment wrapText="1"/>
    </xf>
    <xf numFmtId="0" fontId="4" fillId="0" borderId="1" xfId="0" applyFont="1" applyBorder="1" applyAlignment="1">
      <alignment wrapText="1"/>
    </xf>
    <xf numFmtId="0" fontId="2" fillId="0" borderId="1" xfId="0" applyFont="1" applyBorder="1" applyAlignment="1">
      <alignment wrapText="1"/>
    </xf>
    <xf numFmtId="0" fontId="2" fillId="0" borderId="0" xfId="0" applyFont="1" applyBorder="1" applyAlignment="1">
      <alignment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4" fillId="0" borderId="6" xfId="0" applyFont="1" applyBorder="1"/>
    <xf numFmtId="0" fontId="3" fillId="0" borderId="7" xfId="0" applyFont="1" applyBorder="1"/>
    <xf numFmtId="0" fontId="4" fillId="0" borderId="8" xfId="0" applyFont="1" applyBorder="1"/>
    <xf numFmtId="0" fontId="4" fillId="0" borderId="9" xfId="0" applyFont="1" applyBorder="1"/>
    <xf numFmtId="0" fontId="5" fillId="2" borderId="8" xfId="0" applyFont="1" applyFill="1" applyBorder="1"/>
    <xf numFmtId="0" fontId="2" fillId="0" borderId="1" xfId="0" applyFont="1" applyFill="1" applyBorder="1"/>
    <xf numFmtId="0" fontId="6" fillId="0" borderId="1" xfId="0" applyFont="1" applyBorder="1" applyAlignment="1">
      <alignment horizontal="center" vertical="top"/>
    </xf>
    <xf numFmtId="0" fontId="6" fillId="0" borderId="1" xfId="0" applyFont="1" applyBorder="1" applyAlignment="1">
      <alignment horizontal="center" vertical="top" wrapText="1"/>
    </xf>
    <xf numFmtId="0" fontId="0" fillId="0" borderId="1" xfId="0" applyBorder="1" applyAlignment="1">
      <alignment wrapText="1"/>
    </xf>
    <xf numFmtId="0" fontId="7" fillId="0" borderId="1" xfId="0" applyFont="1" applyBorder="1" applyAlignment="1">
      <alignment wrapText="1"/>
    </xf>
    <xf numFmtId="0" fontId="2" fillId="0" borderId="0" xfId="0" applyFont="1" applyAlignment="1">
      <alignment horizontal="left" vertical="center" wrapText="1"/>
    </xf>
    <xf numFmtId="0" fontId="2" fillId="0" borderId="10" xfId="0" applyFont="1" applyBorder="1" applyAlignment="1">
      <alignment horizontal="center" wrapText="1"/>
    </xf>
    <xf numFmtId="0" fontId="0" fillId="0" borderId="1" xfId="0" applyBorder="1" applyAlignment="1">
      <alignment vertical="center"/>
    </xf>
    <xf numFmtId="0" fontId="0" fillId="0" borderId="0" xfId="0" applyAlignment="1">
      <alignment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86F78-8144-C544-BBD2-7D5F42BA7BDE}">
  <dimension ref="A1:G35"/>
  <sheetViews>
    <sheetView topLeftCell="A9" workbookViewId="0">
      <selection activeCell="E34" sqref="E34"/>
    </sheetView>
  </sheetViews>
  <sheetFormatPr baseColWidth="10" defaultRowHeight="16" x14ac:dyDescent="0.2"/>
  <cols>
    <col min="1" max="1" width="13.83203125" style="3" bestFit="1" customWidth="1"/>
    <col min="2" max="2" width="82.5" style="3" bestFit="1" customWidth="1"/>
    <col min="3" max="3" width="10.83203125" style="3"/>
    <col min="4" max="4" width="20.1640625" style="3" bestFit="1" customWidth="1"/>
    <col min="5" max="5" width="47.5" style="3" bestFit="1" customWidth="1"/>
    <col min="6" max="6" width="42.1640625" style="3" bestFit="1" customWidth="1"/>
    <col min="7" max="7" width="31.1640625" style="3" bestFit="1" customWidth="1"/>
    <col min="8" max="8" width="10.83203125" style="3"/>
    <col min="9" max="9" width="9.1640625" style="3" bestFit="1" customWidth="1"/>
    <col min="10" max="10" width="20.1640625" style="3" bestFit="1" customWidth="1"/>
    <col min="11" max="11" width="38" style="3" bestFit="1" customWidth="1"/>
    <col min="12" max="12" width="28" style="3" bestFit="1" customWidth="1"/>
    <col min="13" max="16384" width="10.83203125" style="3"/>
  </cols>
  <sheetData>
    <row r="1" spans="1:7" ht="32" customHeight="1" x14ac:dyDescent="0.2">
      <c r="A1" s="32" t="s">
        <v>60</v>
      </c>
      <c r="B1" s="32"/>
      <c r="C1" s="32"/>
      <c r="D1" s="32"/>
      <c r="E1" s="32"/>
    </row>
    <row r="2" spans="1:7" ht="33" customHeight="1" thickBot="1" x14ac:dyDescent="0.25">
      <c r="D2" s="33" t="s">
        <v>61</v>
      </c>
      <c r="E2" s="33"/>
      <c r="F2" s="33"/>
      <c r="G2" s="33"/>
    </row>
    <row r="3" spans="1:7" x14ac:dyDescent="0.2">
      <c r="A3" s="28" t="s">
        <v>17</v>
      </c>
      <c r="B3" s="29" t="s">
        <v>18</v>
      </c>
      <c r="D3" s="18" t="s">
        <v>19</v>
      </c>
      <c r="E3" s="19" t="s">
        <v>20</v>
      </c>
      <c r="F3" s="19" t="s">
        <v>21</v>
      </c>
      <c r="G3" s="20" t="s">
        <v>22</v>
      </c>
    </row>
    <row r="4" spans="1:7" ht="17" x14ac:dyDescent="0.2">
      <c r="A4" s="1" t="s">
        <v>64</v>
      </c>
      <c r="B4" s="30" t="s">
        <v>65</v>
      </c>
      <c r="D4" s="21" t="s">
        <v>23</v>
      </c>
      <c r="E4" s="12">
        <v>3839</v>
      </c>
      <c r="F4" s="10">
        <v>2975</v>
      </c>
      <c r="G4" s="22">
        <v>0</v>
      </c>
    </row>
    <row r="5" spans="1:7" ht="35" thickBot="1" x14ac:dyDescent="0.25">
      <c r="A5" s="1" t="s">
        <v>66</v>
      </c>
      <c r="B5" s="30" t="s">
        <v>67</v>
      </c>
      <c r="D5" s="23" t="s">
        <v>24</v>
      </c>
      <c r="E5" s="24">
        <v>2975</v>
      </c>
      <c r="F5" s="24">
        <v>2465</v>
      </c>
      <c r="G5" s="25">
        <v>807</v>
      </c>
    </row>
    <row r="6" spans="1:7" ht="17" x14ac:dyDescent="0.2">
      <c r="A6" s="1" t="s">
        <v>1</v>
      </c>
      <c r="B6" s="30" t="s">
        <v>68</v>
      </c>
    </row>
    <row r="7" spans="1:7" ht="34" x14ac:dyDescent="0.2">
      <c r="A7" s="1" t="s">
        <v>82</v>
      </c>
      <c r="B7" s="30" t="s">
        <v>69</v>
      </c>
      <c r="D7" s="4" t="s">
        <v>25</v>
      </c>
      <c r="E7" s="5">
        <v>6</v>
      </c>
    </row>
    <row r="8" spans="1:7" ht="34" x14ac:dyDescent="0.2">
      <c r="A8" s="1" t="s">
        <v>83</v>
      </c>
      <c r="B8" s="30" t="s">
        <v>70</v>
      </c>
      <c r="D8" s="4" t="s">
        <v>26</v>
      </c>
      <c r="E8" s="6">
        <v>600</v>
      </c>
    </row>
    <row r="9" spans="1:7" ht="34" x14ac:dyDescent="0.2">
      <c r="A9" s="1" t="s">
        <v>0</v>
      </c>
      <c r="B9" s="30" t="s">
        <v>71</v>
      </c>
      <c r="D9" s="4" t="s">
        <v>28</v>
      </c>
      <c r="E9" s="11">
        <f>(E4/E8/E7)*1000</f>
        <v>1066.3888888888889</v>
      </c>
      <c r="F9" s="7"/>
      <c r="G9" s="7"/>
    </row>
    <row r="10" spans="1:7" ht="17" x14ac:dyDescent="0.2">
      <c r="A10" s="1" t="s">
        <v>72</v>
      </c>
      <c r="B10" s="30" t="s">
        <v>51</v>
      </c>
      <c r="F10" s="7"/>
      <c r="G10" s="7"/>
    </row>
    <row r="11" spans="1:7" ht="51" x14ac:dyDescent="0.2">
      <c r="A11" s="1" t="s">
        <v>30</v>
      </c>
      <c r="B11" s="30" t="s">
        <v>73</v>
      </c>
      <c r="D11" s="4" t="s">
        <v>27</v>
      </c>
      <c r="E11" s="6">
        <v>15</v>
      </c>
      <c r="F11" s="7"/>
      <c r="G11" s="7"/>
    </row>
    <row r="12" spans="1:7" ht="34" x14ac:dyDescent="0.2">
      <c r="A12" s="1" t="s">
        <v>74</v>
      </c>
      <c r="B12" s="30" t="s">
        <v>75</v>
      </c>
      <c r="D12" s="8"/>
      <c r="E12" s="7"/>
      <c r="F12" s="7"/>
      <c r="G12" s="7"/>
    </row>
    <row r="13" spans="1:7" ht="17" x14ac:dyDescent="0.2">
      <c r="A13" s="1" t="s">
        <v>76</v>
      </c>
      <c r="B13" s="31" t="s">
        <v>81</v>
      </c>
      <c r="D13" s="2" t="s">
        <v>59</v>
      </c>
      <c r="E13" s="2" t="s">
        <v>63</v>
      </c>
      <c r="F13" s="7"/>
      <c r="G13" s="7"/>
    </row>
    <row r="14" spans="1:7" ht="17" x14ac:dyDescent="0.2">
      <c r="A14" s="1" t="s">
        <v>32</v>
      </c>
      <c r="B14" s="31" t="s">
        <v>81</v>
      </c>
      <c r="D14" s="1" t="s">
        <v>64</v>
      </c>
      <c r="E14" s="5">
        <f>E9/E11</f>
        <v>71.092592592592595</v>
      </c>
    </row>
    <row r="15" spans="1:7" ht="68" x14ac:dyDescent="0.2">
      <c r="A15" s="1" t="s">
        <v>84</v>
      </c>
      <c r="B15" s="30" t="s">
        <v>77</v>
      </c>
      <c r="D15" s="1" t="s">
        <v>66</v>
      </c>
      <c r="E15" s="5">
        <f>E14</f>
        <v>71.092592592592595</v>
      </c>
    </row>
    <row r="16" spans="1:7" ht="17" x14ac:dyDescent="0.2">
      <c r="A16" s="1" t="s">
        <v>33</v>
      </c>
      <c r="B16" s="30" t="s">
        <v>55</v>
      </c>
      <c r="D16" s="1" t="s">
        <v>1</v>
      </c>
      <c r="E16" s="5">
        <f t="shared" ref="E16:E28" si="0">E15</f>
        <v>71.092592592592595</v>
      </c>
    </row>
    <row r="17" spans="1:5" ht="34" x14ac:dyDescent="0.2">
      <c r="A17" s="1" t="s">
        <v>34</v>
      </c>
      <c r="B17" s="30" t="s">
        <v>78</v>
      </c>
      <c r="D17" s="1" t="s">
        <v>82</v>
      </c>
      <c r="E17" s="5">
        <f t="shared" si="0"/>
        <v>71.092592592592595</v>
      </c>
    </row>
    <row r="18" spans="1:5" ht="34" x14ac:dyDescent="0.2">
      <c r="A18" s="1" t="s">
        <v>35</v>
      </c>
      <c r="B18" s="30" t="s">
        <v>79</v>
      </c>
      <c r="D18" s="1" t="s">
        <v>83</v>
      </c>
      <c r="E18" s="5">
        <f t="shared" si="0"/>
        <v>71.092592592592595</v>
      </c>
    </row>
    <row r="19" spans="1:5" ht="17" x14ac:dyDescent="0.2">
      <c r="A19" s="1" t="s">
        <v>36</v>
      </c>
      <c r="B19" s="31" t="s">
        <v>81</v>
      </c>
      <c r="D19" s="1" t="s">
        <v>0</v>
      </c>
      <c r="E19" s="5">
        <f t="shared" si="0"/>
        <v>71.092592592592595</v>
      </c>
    </row>
    <row r="20" spans="1:5" ht="17" x14ac:dyDescent="0.2">
      <c r="A20" s="1" t="s">
        <v>37</v>
      </c>
      <c r="B20" s="31" t="s">
        <v>81</v>
      </c>
      <c r="C20" s="9"/>
      <c r="D20" s="1" t="s">
        <v>72</v>
      </c>
      <c r="E20" s="5">
        <f t="shared" si="0"/>
        <v>71.092592592592595</v>
      </c>
    </row>
    <row r="21" spans="1:5" ht="17" x14ac:dyDescent="0.2">
      <c r="A21" s="1" t="s">
        <v>38</v>
      </c>
      <c r="B21" s="31" t="s">
        <v>81</v>
      </c>
      <c r="C21" s="9"/>
      <c r="D21" s="1" t="s">
        <v>30</v>
      </c>
      <c r="E21" s="5">
        <f t="shared" si="0"/>
        <v>71.092592592592595</v>
      </c>
    </row>
    <row r="22" spans="1:5" ht="17" x14ac:dyDescent="0.2">
      <c r="A22" s="1" t="s">
        <v>39</v>
      </c>
      <c r="B22" s="31" t="s">
        <v>81</v>
      </c>
      <c r="C22" s="9"/>
      <c r="D22" s="1" t="s">
        <v>74</v>
      </c>
      <c r="E22" s="5">
        <f t="shared" si="0"/>
        <v>71.092592592592595</v>
      </c>
    </row>
    <row r="23" spans="1:5" ht="17" x14ac:dyDescent="0.2">
      <c r="A23" s="1" t="s">
        <v>40</v>
      </c>
      <c r="B23" s="31" t="s">
        <v>81</v>
      </c>
      <c r="C23" s="9"/>
      <c r="D23" s="1" t="s">
        <v>84</v>
      </c>
      <c r="E23" s="5">
        <f t="shared" si="0"/>
        <v>71.092592592592595</v>
      </c>
    </row>
    <row r="24" spans="1:5" ht="34" x14ac:dyDescent="0.2">
      <c r="A24" s="1" t="s">
        <v>3</v>
      </c>
      <c r="B24" s="30" t="s">
        <v>80</v>
      </c>
      <c r="C24" s="9"/>
      <c r="D24" s="1" t="s">
        <v>33</v>
      </c>
      <c r="E24" s="5">
        <f t="shared" si="0"/>
        <v>71.092592592592595</v>
      </c>
    </row>
    <row r="25" spans="1:5" ht="17" x14ac:dyDescent="0.2">
      <c r="A25" s="1" t="s">
        <v>42</v>
      </c>
      <c r="B25" s="31" t="s">
        <v>81</v>
      </c>
      <c r="C25" s="9"/>
      <c r="D25" s="1" t="s">
        <v>34</v>
      </c>
      <c r="E25" s="5">
        <f t="shared" si="0"/>
        <v>71.092592592592595</v>
      </c>
    </row>
    <row r="26" spans="1:5" ht="17" x14ac:dyDescent="0.2">
      <c r="A26" s="1" t="s">
        <v>2</v>
      </c>
      <c r="B26" s="30" t="s">
        <v>44</v>
      </c>
      <c r="C26" s="9"/>
      <c r="D26" s="1" t="s">
        <v>35</v>
      </c>
      <c r="E26" s="5">
        <f t="shared" si="0"/>
        <v>71.092592592592595</v>
      </c>
    </row>
    <row r="27" spans="1:5" x14ac:dyDescent="0.2">
      <c r="A27" s="13"/>
      <c r="B27" s="9"/>
      <c r="C27" s="9"/>
      <c r="D27" s="1" t="s">
        <v>3</v>
      </c>
      <c r="E27" s="5">
        <f t="shared" si="0"/>
        <v>71.092592592592595</v>
      </c>
    </row>
    <row r="28" spans="1:5" x14ac:dyDescent="0.2">
      <c r="A28" s="13"/>
      <c r="B28" s="9"/>
      <c r="C28" s="9"/>
      <c r="D28" s="10" t="s">
        <v>2</v>
      </c>
      <c r="E28" s="5">
        <f t="shared" si="0"/>
        <v>71.092592592592595</v>
      </c>
    </row>
    <row r="29" spans="1:5" x14ac:dyDescent="0.2">
      <c r="A29" s="13"/>
      <c r="B29" s="9"/>
      <c r="C29" s="9"/>
      <c r="D29" s="13"/>
      <c r="E29" s="9"/>
    </row>
    <row r="30" spans="1:5" x14ac:dyDescent="0.2">
      <c r="A30" s="13"/>
      <c r="B30" s="9"/>
      <c r="C30" s="9"/>
      <c r="D30" s="13"/>
      <c r="E30" s="9"/>
    </row>
    <row r="31" spans="1:5" x14ac:dyDescent="0.2">
      <c r="A31" s="13"/>
      <c r="B31" s="9"/>
      <c r="C31" s="9"/>
    </row>
    <row r="32" spans="1:5" x14ac:dyDescent="0.2">
      <c r="A32" s="13"/>
      <c r="B32" s="9"/>
      <c r="C32" s="9"/>
    </row>
    <row r="33" spans="1:3" x14ac:dyDescent="0.2">
      <c r="A33" s="13"/>
      <c r="B33" s="9"/>
      <c r="C33" s="9"/>
    </row>
    <row r="34" spans="1:3" x14ac:dyDescent="0.2">
      <c r="A34" s="13"/>
      <c r="B34" s="9"/>
      <c r="C34" s="9"/>
    </row>
    <row r="35" spans="1:3" x14ac:dyDescent="0.2">
      <c r="A35" s="13"/>
      <c r="B35" s="9"/>
      <c r="C35" s="9"/>
    </row>
  </sheetData>
  <mergeCells count="2">
    <mergeCell ref="A1:E1"/>
    <mergeCell ref="D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B11C-440A-BA47-945F-4CD562CF402F}">
  <dimension ref="A1:G35"/>
  <sheetViews>
    <sheetView tabSelected="1" workbookViewId="0">
      <selection activeCell="C20" sqref="C20"/>
    </sheetView>
  </sheetViews>
  <sheetFormatPr baseColWidth="10" defaultRowHeight="16" x14ac:dyDescent="0.2"/>
  <cols>
    <col min="1" max="1" width="12.1640625" style="3" bestFit="1" customWidth="1"/>
    <col min="2" max="2" width="84" style="3" bestFit="1" customWidth="1"/>
    <col min="3" max="3" width="10.83203125" style="3"/>
    <col min="4" max="4" width="20.1640625" style="3" bestFit="1" customWidth="1"/>
    <col min="5" max="5" width="42.1640625" style="3" customWidth="1"/>
    <col min="6" max="6" width="42.1640625" style="3" bestFit="1" customWidth="1"/>
    <col min="7" max="7" width="31.1640625" style="3" bestFit="1" customWidth="1"/>
    <col min="8" max="8" width="10.83203125" style="3"/>
    <col min="9" max="9" width="9.1640625" style="3" bestFit="1" customWidth="1"/>
    <col min="10" max="10" width="20.1640625" style="3" bestFit="1" customWidth="1"/>
    <col min="11" max="11" width="38" style="3" bestFit="1" customWidth="1"/>
    <col min="12" max="12" width="28" style="3" bestFit="1" customWidth="1"/>
    <col min="13" max="16384" width="10.83203125" style="3"/>
  </cols>
  <sheetData>
    <row r="1" spans="1:7" ht="32" customHeight="1" x14ac:dyDescent="0.2">
      <c r="A1" s="32" t="s">
        <v>60</v>
      </c>
      <c r="B1" s="32"/>
      <c r="C1" s="32"/>
      <c r="D1" s="32"/>
      <c r="E1" s="32"/>
    </row>
    <row r="2" spans="1:7" ht="17" thickBot="1" x14ac:dyDescent="0.25">
      <c r="D2" s="33" t="s">
        <v>61</v>
      </c>
      <c r="E2" s="33"/>
      <c r="F2" s="33"/>
      <c r="G2" s="33"/>
    </row>
    <row r="3" spans="1:7" ht="17" x14ac:dyDescent="0.2">
      <c r="A3" s="2" t="s">
        <v>17</v>
      </c>
      <c r="B3" s="14" t="s">
        <v>29</v>
      </c>
      <c r="D3" s="18" t="s">
        <v>19</v>
      </c>
      <c r="E3" s="19" t="s">
        <v>20</v>
      </c>
      <c r="F3" s="19" t="s">
        <v>21</v>
      </c>
      <c r="G3" s="20" t="s">
        <v>22</v>
      </c>
    </row>
    <row r="4" spans="1:7" ht="17" x14ac:dyDescent="0.2">
      <c r="A4" s="10" t="s">
        <v>64</v>
      </c>
      <c r="B4" s="15" t="s">
        <v>45</v>
      </c>
      <c r="D4" s="21" t="s">
        <v>23</v>
      </c>
      <c r="E4" s="27">
        <v>3839</v>
      </c>
      <c r="F4" s="10">
        <v>2975</v>
      </c>
      <c r="G4" s="22">
        <v>0</v>
      </c>
    </row>
    <row r="5" spans="1:7" ht="35" thickBot="1" x14ac:dyDescent="0.25">
      <c r="A5" s="10" t="s">
        <v>66</v>
      </c>
      <c r="B5" s="15" t="s">
        <v>46</v>
      </c>
      <c r="D5" s="23" t="s">
        <v>24</v>
      </c>
      <c r="E5" s="26">
        <v>2975</v>
      </c>
      <c r="F5" s="24">
        <v>2465</v>
      </c>
      <c r="G5" s="25">
        <v>807</v>
      </c>
    </row>
    <row r="6" spans="1:7" ht="34" x14ac:dyDescent="0.2">
      <c r="A6" s="10" t="s">
        <v>1</v>
      </c>
      <c r="B6" s="15" t="s">
        <v>47</v>
      </c>
    </row>
    <row r="7" spans="1:7" ht="17" x14ac:dyDescent="0.2">
      <c r="A7" s="10" t="s">
        <v>82</v>
      </c>
      <c r="B7" s="15" t="s">
        <v>48</v>
      </c>
      <c r="D7" s="4" t="s">
        <v>25</v>
      </c>
      <c r="E7" s="5">
        <v>6</v>
      </c>
    </row>
    <row r="8" spans="1:7" ht="17" x14ac:dyDescent="0.2">
      <c r="A8" s="10" t="s">
        <v>83</v>
      </c>
      <c r="B8" s="15" t="s">
        <v>49</v>
      </c>
      <c r="D8" s="4" t="s">
        <v>26</v>
      </c>
      <c r="E8" s="6">
        <v>600</v>
      </c>
    </row>
    <row r="9" spans="1:7" ht="17" x14ac:dyDescent="0.2">
      <c r="A9" s="10" t="s">
        <v>0</v>
      </c>
      <c r="B9" s="15" t="s">
        <v>50</v>
      </c>
      <c r="D9" s="4" t="s">
        <v>28</v>
      </c>
      <c r="E9" s="11">
        <f>(E5/E8/E7)*1000</f>
        <v>826.3888888888888</v>
      </c>
    </row>
    <row r="10" spans="1:7" ht="17" x14ac:dyDescent="0.2">
      <c r="A10" s="10" t="s">
        <v>72</v>
      </c>
      <c r="B10" s="15" t="s">
        <v>51</v>
      </c>
      <c r="F10" s="7"/>
      <c r="G10" s="7"/>
    </row>
    <row r="11" spans="1:7" ht="51" x14ac:dyDescent="0.2">
      <c r="A11" s="10" t="s">
        <v>30</v>
      </c>
      <c r="B11" s="15" t="s">
        <v>52</v>
      </c>
      <c r="D11" s="4" t="s">
        <v>27</v>
      </c>
      <c r="E11" s="6">
        <v>17</v>
      </c>
      <c r="F11" s="7"/>
      <c r="G11" s="7"/>
    </row>
    <row r="12" spans="1:7" ht="34" x14ac:dyDescent="0.2">
      <c r="A12" s="10" t="s">
        <v>74</v>
      </c>
      <c r="B12" s="15" t="s">
        <v>53</v>
      </c>
      <c r="D12" s="8"/>
      <c r="E12" s="7"/>
      <c r="F12" s="7"/>
      <c r="G12" s="7"/>
    </row>
    <row r="13" spans="1:7" ht="17" x14ac:dyDescent="0.2">
      <c r="A13" s="10" t="s">
        <v>76</v>
      </c>
      <c r="B13" s="15" t="s">
        <v>31</v>
      </c>
      <c r="D13" s="2" t="s">
        <v>59</v>
      </c>
      <c r="E13" s="2" t="s">
        <v>62</v>
      </c>
      <c r="F13" s="7"/>
      <c r="G13" s="7"/>
    </row>
    <row r="14" spans="1:7" ht="17" x14ac:dyDescent="0.2">
      <c r="A14" s="10" t="s">
        <v>32</v>
      </c>
      <c r="B14" s="31" t="s">
        <v>81</v>
      </c>
      <c r="D14" s="10" t="s">
        <v>66</v>
      </c>
      <c r="E14" s="5">
        <f>E9/E11</f>
        <v>48.611111111111107</v>
      </c>
      <c r="F14" s="7"/>
      <c r="G14" s="7"/>
    </row>
    <row r="15" spans="1:7" ht="34" x14ac:dyDescent="0.2">
      <c r="A15" s="10" t="s">
        <v>84</v>
      </c>
      <c r="B15" s="15" t="s">
        <v>54</v>
      </c>
      <c r="D15" s="10" t="s">
        <v>1</v>
      </c>
      <c r="E15" s="5">
        <f>E14</f>
        <v>48.611111111111107</v>
      </c>
    </row>
    <row r="16" spans="1:7" ht="17" x14ac:dyDescent="0.2">
      <c r="A16" s="10" t="s">
        <v>33</v>
      </c>
      <c r="B16" s="15" t="s">
        <v>55</v>
      </c>
      <c r="D16" s="10" t="s">
        <v>82</v>
      </c>
      <c r="E16" s="5">
        <f t="shared" ref="E16:E30" si="0">E15</f>
        <v>48.611111111111107</v>
      </c>
    </row>
    <row r="17" spans="1:6" ht="34" x14ac:dyDescent="0.2">
      <c r="A17" s="10" t="s">
        <v>34</v>
      </c>
      <c r="B17" s="15" t="s">
        <v>56</v>
      </c>
      <c r="D17" s="10" t="s">
        <v>83</v>
      </c>
      <c r="E17" s="5">
        <f t="shared" si="0"/>
        <v>48.611111111111107</v>
      </c>
    </row>
    <row r="18" spans="1:6" ht="51" x14ac:dyDescent="0.2">
      <c r="A18" s="10" t="s">
        <v>35</v>
      </c>
      <c r="B18" s="15" t="s">
        <v>57</v>
      </c>
      <c r="D18" s="10" t="s">
        <v>0</v>
      </c>
      <c r="E18" s="5">
        <f t="shared" si="0"/>
        <v>48.611111111111107</v>
      </c>
      <c r="F18" s="3" t="s">
        <v>85</v>
      </c>
    </row>
    <row r="19" spans="1:6" ht="17" x14ac:dyDescent="0.2">
      <c r="A19" s="10" t="s">
        <v>36</v>
      </c>
      <c r="B19" s="31" t="s">
        <v>81</v>
      </c>
      <c r="D19" s="10" t="s">
        <v>6</v>
      </c>
      <c r="E19" s="5">
        <f t="shared" si="0"/>
        <v>48.611111111111107</v>
      </c>
    </row>
    <row r="20" spans="1:6" ht="17" x14ac:dyDescent="0.2">
      <c r="A20" s="5" t="s">
        <v>37</v>
      </c>
      <c r="B20" s="31" t="s">
        <v>81</v>
      </c>
      <c r="C20" s="9"/>
      <c r="D20" s="10" t="s">
        <v>30</v>
      </c>
      <c r="E20" s="5">
        <f t="shared" si="0"/>
        <v>48.611111111111107</v>
      </c>
    </row>
    <row r="21" spans="1:6" ht="17" x14ac:dyDescent="0.2">
      <c r="A21" s="10" t="s">
        <v>38</v>
      </c>
      <c r="B21" s="31" t="s">
        <v>81</v>
      </c>
      <c r="C21" s="9"/>
      <c r="D21" s="10" t="s">
        <v>74</v>
      </c>
      <c r="E21" s="5">
        <f t="shared" si="0"/>
        <v>48.611111111111107</v>
      </c>
    </row>
    <row r="22" spans="1:6" ht="17" x14ac:dyDescent="0.2">
      <c r="A22" s="10" t="s">
        <v>39</v>
      </c>
      <c r="B22" s="31" t="s">
        <v>81</v>
      </c>
      <c r="C22" s="9"/>
      <c r="D22" s="10" t="s">
        <v>76</v>
      </c>
      <c r="E22" s="5">
        <f t="shared" si="0"/>
        <v>48.611111111111107</v>
      </c>
    </row>
    <row r="23" spans="1:6" ht="17" x14ac:dyDescent="0.2">
      <c r="A23" s="10" t="s">
        <v>40</v>
      </c>
      <c r="B23" s="16" t="s">
        <v>41</v>
      </c>
      <c r="C23" s="9"/>
      <c r="D23" s="10" t="s">
        <v>84</v>
      </c>
      <c r="E23" s="5">
        <f t="shared" si="0"/>
        <v>48.611111111111107</v>
      </c>
    </row>
    <row r="24" spans="1:6" ht="34" x14ac:dyDescent="0.2">
      <c r="A24" s="10" t="s">
        <v>3</v>
      </c>
      <c r="B24" s="16" t="s">
        <v>58</v>
      </c>
      <c r="C24" s="9"/>
      <c r="D24" s="10" t="s">
        <v>33</v>
      </c>
      <c r="E24" s="5">
        <f t="shared" si="0"/>
        <v>48.611111111111107</v>
      </c>
    </row>
    <row r="25" spans="1:6" ht="17" x14ac:dyDescent="0.2">
      <c r="A25" s="10" t="s">
        <v>42</v>
      </c>
      <c r="B25" s="16" t="s">
        <v>43</v>
      </c>
      <c r="C25" s="9"/>
      <c r="D25" s="10" t="s">
        <v>34</v>
      </c>
      <c r="E25" s="5">
        <f t="shared" si="0"/>
        <v>48.611111111111107</v>
      </c>
    </row>
    <row r="26" spans="1:6" ht="17" x14ac:dyDescent="0.2">
      <c r="A26" s="10" t="s">
        <v>2</v>
      </c>
      <c r="B26" s="16" t="s">
        <v>44</v>
      </c>
      <c r="C26" s="9"/>
      <c r="D26" s="10" t="s">
        <v>35</v>
      </c>
      <c r="E26" s="5">
        <f t="shared" si="0"/>
        <v>48.611111111111107</v>
      </c>
    </row>
    <row r="27" spans="1:6" x14ac:dyDescent="0.2">
      <c r="A27" s="13"/>
      <c r="B27" s="17"/>
      <c r="C27" s="9"/>
      <c r="D27" s="10" t="s">
        <v>40</v>
      </c>
      <c r="E27" s="5">
        <f t="shared" si="0"/>
        <v>48.611111111111107</v>
      </c>
    </row>
    <row r="28" spans="1:6" x14ac:dyDescent="0.2">
      <c r="A28" s="13"/>
      <c r="B28" s="9"/>
      <c r="C28" s="9"/>
      <c r="D28" s="10" t="s">
        <v>3</v>
      </c>
      <c r="E28" s="5">
        <f t="shared" si="0"/>
        <v>48.611111111111107</v>
      </c>
    </row>
    <row r="29" spans="1:6" x14ac:dyDescent="0.2">
      <c r="A29" s="13"/>
      <c r="B29" s="9"/>
      <c r="C29" s="9"/>
      <c r="D29" s="10" t="s">
        <v>42</v>
      </c>
      <c r="E29" s="5">
        <f t="shared" si="0"/>
        <v>48.611111111111107</v>
      </c>
    </row>
    <row r="30" spans="1:6" x14ac:dyDescent="0.2">
      <c r="A30" s="13"/>
      <c r="B30" s="9"/>
      <c r="C30" s="9"/>
      <c r="D30" s="10" t="s">
        <v>2</v>
      </c>
      <c r="E30" s="5">
        <f t="shared" si="0"/>
        <v>48.611111111111107</v>
      </c>
    </row>
    <row r="31" spans="1:6" x14ac:dyDescent="0.2">
      <c r="A31" s="13"/>
      <c r="B31" s="9"/>
      <c r="C31" s="9"/>
    </row>
    <row r="32" spans="1:6" x14ac:dyDescent="0.2">
      <c r="A32" s="13"/>
      <c r="B32" s="9"/>
      <c r="C32" s="9"/>
    </row>
    <row r="33" spans="1:3" x14ac:dyDescent="0.2">
      <c r="A33" s="13"/>
      <c r="B33" s="9"/>
      <c r="C33" s="9"/>
    </row>
    <row r="34" spans="1:3" x14ac:dyDescent="0.2">
      <c r="A34" s="13"/>
      <c r="B34" s="9"/>
      <c r="C34" s="9"/>
    </row>
    <row r="35" spans="1:3" x14ac:dyDescent="0.2">
      <c r="A35" s="13"/>
      <c r="B35" s="9"/>
      <c r="C35" s="9"/>
    </row>
  </sheetData>
  <mergeCells count="2">
    <mergeCell ref="A1:E1"/>
    <mergeCell ref="D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B55A-D482-9B4C-96D7-BE41C868625C}">
  <dimension ref="A1:F43"/>
  <sheetViews>
    <sheetView workbookViewId="0">
      <selection activeCell="F26" sqref="F26"/>
    </sheetView>
  </sheetViews>
  <sheetFormatPr baseColWidth="10" defaultRowHeight="16" x14ac:dyDescent="0.2"/>
  <cols>
    <col min="1" max="1" width="11.6640625" bestFit="1" customWidth="1"/>
    <col min="2" max="2" width="33.83203125" bestFit="1" customWidth="1"/>
    <col min="3" max="3" width="26.6640625" bestFit="1" customWidth="1"/>
    <col min="5" max="5" width="13.6640625" bestFit="1" customWidth="1"/>
    <col min="6" max="6" width="26.1640625" bestFit="1" customWidth="1"/>
  </cols>
  <sheetData>
    <row r="1" spans="1:6" ht="32" customHeight="1" x14ac:dyDescent="0.2">
      <c r="A1" s="39" t="s">
        <v>141</v>
      </c>
      <c r="B1" s="39"/>
      <c r="C1" s="39"/>
      <c r="D1" s="39"/>
      <c r="E1" s="39"/>
    </row>
    <row r="3" spans="1:6" x14ac:dyDescent="0.2">
      <c r="A3" s="28" t="s">
        <v>17</v>
      </c>
      <c r="B3" s="28" t="s">
        <v>86</v>
      </c>
      <c r="C3" s="28" t="s">
        <v>87</v>
      </c>
      <c r="E3" s="2" t="s">
        <v>17</v>
      </c>
      <c r="F3" s="2" t="s">
        <v>142</v>
      </c>
    </row>
    <row r="4" spans="1:6" x14ac:dyDescent="0.2">
      <c r="A4" s="34" t="s">
        <v>88</v>
      </c>
      <c r="B4" s="34" t="s">
        <v>89</v>
      </c>
      <c r="C4" s="34">
        <v>3.75</v>
      </c>
      <c r="E4" s="34" t="s">
        <v>16</v>
      </c>
      <c r="F4" s="1">
        <f>C4</f>
        <v>3.75</v>
      </c>
    </row>
    <row r="5" spans="1:6" x14ac:dyDescent="0.2">
      <c r="A5" s="36" t="s">
        <v>90</v>
      </c>
      <c r="B5" s="34" t="s">
        <v>91</v>
      </c>
      <c r="C5" s="34">
        <v>45.957000000000001</v>
      </c>
      <c r="E5" s="34" t="s">
        <v>9</v>
      </c>
      <c r="F5" s="1">
        <f>SUM(C5:C8)</f>
        <v>73.326999999999998</v>
      </c>
    </row>
    <row r="6" spans="1:6" x14ac:dyDescent="0.2">
      <c r="A6" s="36"/>
      <c r="B6" s="34" t="s">
        <v>92</v>
      </c>
      <c r="C6" s="34">
        <v>7.6609999999999996</v>
      </c>
      <c r="E6" s="34" t="s">
        <v>11</v>
      </c>
      <c r="F6" s="1">
        <f>SUM(C9:C13)</f>
        <v>37.838999999999999</v>
      </c>
    </row>
    <row r="7" spans="1:6" x14ac:dyDescent="0.2">
      <c r="A7" s="36"/>
      <c r="B7" s="34" t="s">
        <v>93</v>
      </c>
      <c r="C7" s="34">
        <v>8.2720000000000002</v>
      </c>
      <c r="E7" s="34" t="s">
        <v>12</v>
      </c>
      <c r="F7" s="1">
        <f>C14</f>
        <v>11.335000000000001</v>
      </c>
    </row>
    <row r="8" spans="1:6" x14ac:dyDescent="0.2">
      <c r="A8" s="36"/>
      <c r="B8" s="34" t="s">
        <v>94</v>
      </c>
      <c r="C8" s="34">
        <v>11.436999999999999</v>
      </c>
      <c r="E8" s="34" t="s">
        <v>2</v>
      </c>
      <c r="F8" s="1">
        <f>C15</f>
        <v>2.8149999999999999</v>
      </c>
    </row>
    <row r="9" spans="1:6" x14ac:dyDescent="0.2">
      <c r="A9" s="36" t="s">
        <v>95</v>
      </c>
      <c r="B9" s="34" t="s">
        <v>96</v>
      </c>
      <c r="C9" s="34">
        <v>9.5399999999999991</v>
      </c>
      <c r="E9" s="34" t="s">
        <v>4</v>
      </c>
      <c r="F9" s="1">
        <f>SUM(C16:C18)</f>
        <v>36.277000000000001</v>
      </c>
    </row>
    <row r="10" spans="1:6" x14ac:dyDescent="0.2">
      <c r="A10" s="36"/>
      <c r="B10" s="34" t="s">
        <v>97</v>
      </c>
      <c r="C10" s="34">
        <v>3.0169999999999999</v>
      </c>
      <c r="E10" s="34" t="s">
        <v>8</v>
      </c>
      <c r="F10" s="1">
        <f>C19</f>
        <v>21.5</v>
      </c>
    </row>
    <row r="11" spans="1:6" x14ac:dyDescent="0.2">
      <c r="A11" s="36"/>
      <c r="B11" s="34" t="s">
        <v>98</v>
      </c>
      <c r="C11" s="34">
        <v>13.007</v>
      </c>
      <c r="E11" s="34" t="s">
        <v>13</v>
      </c>
      <c r="F11" s="1">
        <f>C20</f>
        <v>1.0680000000000001</v>
      </c>
    </row>
    <row r="12" spans="1:6" x14ac:dyDescent="0.2">
      <c r="A12" s="36"/>
      <c r="B12" s="34" t="s">
        <v>99</v>
      </c>
      <c r="C12" s="34">
        <v>7.3129999999999997</v>
      </c>
      <c r="E12" s="34" t="s">
        <v>1</v>
      </c>
      <c r="F12" s="1">
        <f>SUM(C21:C22)</f>
        <v>14.674000000000001</v>
      </c>
    </row>
    <row r="13" spans="1:6" x14ac:dyDescent="0.2">
      <c r="A13" s="36"/>
      <c r="B13" s="34" t="s">
        <v>100</v>
      </c>
      <c r="C13" s="34">
        <v>4.9619999999999997</v>
      </c>
      <c r="E13" s="34" t="s">
        <v>5</v>
      </c>
      <c r="F13" s="1">
        <f>SUM(C23:C27)</f>
        <v>305.61299999999994</v>
      </c>
    </row>
    <row r="14" spans="1:6" x14ac:dyDescent="0.2">
      <c r="A14" s="34" t="s">
        <v>101</v>
      </c>
      <c r="B14" s="34" t="s">
        <v>102</v>
      </c>
      <c r="C14" s="34">
        <v>11.335000000000001</v>
      </c>
      <c r="E14" s="34" t="s">
        <v>3</v>
      </c>
      <c r="F14" s="1">
        <f>SUM(C28)</f>
        <v>27.75</v>
      </c>
    </row>
    <row r="15" spans="1:6" x14ac:dyDescent="0.2">
      <c r="A15" s="34" t="s">
        <v>103</v>
      </c>
      <c r="B15" s="34" t="s">
        <v>103</v>
      </c>
      <c r="C15" s="34">
        <v>2.8149999999999999</v>
      </c>
      <c r="E15" s="34" t="s">
        <v>7</v>
      </c>
      <c r="F15" s="1">
        <f>C29</f>
        <v>28.707999999999998</v>
      </c>
    </row>
    <row r="16" spans="1:6" x14ac:dyDescent="0.2">
      <c r="A16" s="36" t="s">
        <v>104</v>
      </c>
      <c r="B16" s="34" t="s">
        <v>105</v>
      </c>
      <c r="C16" s="34">
        <v>24.577999999999999</v>
      </c>
      <c r="E16" s="34" t="s">
        <v>14</v>
      </c>
      <c r="F16" s="1">
        <f>SUM(C30:C32)</f>
        <v>75.158999999999992</v>
      </c>
    </row>
    <row r="17" spans="1:6" x14ac:dyDescent="0.2">
      <c r="A17" s="36"/>
      <c r="B17" s="34" t="s">
        <v>106</v>
      </c>
      <c r="C17" s="34">
        <v>11.022</v>
      </c>
      <c r="E17" s="34" t="s">
        <v>10</v>
      </c>
      <c r="F17" s="1">
        <f>SUM(C33:C37)</f>
        <v>178.24299999999999</v>
      </c>
    </row>
    <row r="18" spans="1:6" x14ac:dyDescent="0.2">
      <c r="A18" s="36"/>
      <c r="B18" s="34" t="s">
        <v>107</v>
      </c>
      <c r="C18" s="34">
        <v>0.67700000000000005</v>
      </c>
      <c r="E18" s="34" t="s">
        <v>0</v>
      </c>
      <c r="F18" s="1">
        <f>SUM(C38:C39)</f>
        <v>153.80799999999999</v>
      </c>
    </row>
    <row r="19" spans="1:6" x14ac:dyDescent="0.2">
      <c r="A19" s="34" t="s">
        <v>108</v>
      </c>
      <c r="B19" s="34" t="s">
        <v>109</v>
      </c>
      <c r="C19" s="34">
        <v>21.5</v>
      </c>
      <c r="E19" s="34" t="s">
        <v>15</v>
      </c>
      <c r="F19" s="1">
        <f>SUM(C40:C43)</f>
        <v>71.069999999999993</v>
      </c>
    </row>
    <row r="20" spans="1:6" x14ac:dyDescent="0.2">
      <c r="A20" s="34" t="s">
        <v>110</v>
      </c>
      <c r="B20" s="34" t="s">
        <v>110</v>
      </c>
      <c r="C20" s="34">
        <v>1.0680000000000001</v>
      </c>
    </row>
    <row r="21" spans="1:6" x14ac:dyDescent="0.2">
      <c r="A21" s="36" t="s">
        <v>111</v>
      </c>
      <c r="B21" s="34" t="s">
        <v>112</v>
      </c>
      <c r="C21" s="34">
        <v>8.9920000000000009</v>
      </c>
    </row>
    <row r="22" spans="1:6" x14ac:dyDescent="0.2">
      <c r="A22" s="36"/>
      <c r="B22" s="34" t="s">
        <v>113</v>
      </c>
      <c r="C22" s="34">
        <v>5.6820000000000004</v>
      </c>
      <c r="E22" s="35"/>
    </row>
    <row r="23" spans="1:6" x14ac:dyDescent="0.2">
      <c r="A23" s="36" t="s">
        <v>114</v>
      </c>
      <c r="B23" s="34" t="s">
        <v>115</v>
      </c>
      <c r="C23" s="34">
        <v>4.75</v>
      </c>
    </row>
    <row r="24" spans="1:6" x14ac:dyDescent="0.2">
      <c r="A24" s="36"/>
      <c r="B24" s="34" t="s">
        <v>116</v>
      </c>
      <c r="C24" s="34">
        <v>237.86199999999999</v>
      </c>
      <c r="E24" s="35"/>
    </row>
    <row r="25" spans="1:6" x14ac:dyDescent="0.2">
      <c r="A25" s="36"/>
      <c r="B25" s="34" t="s">
        <v>117</v>
      </c>
      <c r="C25" s="34">
        <v>2.5750000000000002</v>
      </c>
      <c r="E25" s="35"/>
    </row>
    <row r="26" spans="1:6" x14ac:dyDescent="0.2">
      <c r="A26" s="36"/>
      <c r="B26" s="34" t="s">
        <v>118</v>
      </c>
      <c r="C26" s="34">
        <v>39.912999999999997</v>
      </c>
      <c r="E26" s="35"/>
    </row>
    <row r="27" spans="1:6" x14ac:dyDescent="0.2">
      <c r="A27" s="36"/>
      <c r="B27" s="34" t="s">
        <v>119</v>
      </c>
      <c r="C27" s="34">
        <v>20.513000000000002</v>
      </c>
      <c r="E27" s="35"/>
    </row>
    <row r="28" spans="1:6" x14ac:dyDescent="0.2">
      <c r="A28" s="34" t="s">
        <v>120</v>
      </c>
      <c r="B28" s="34" t="s">
        <v>121</v>
      </c>
      <c r="C28" s="34">
        <v>27.75</v>
      </c>
    </row>
    <row r="29" spans="1:6" x14ac:dyDescent="0.2">
      <c r="A29" s="34" t="s">
        <v>122</v>
      </c>
      <c r="B29" s="34" t="s">
        <v>123</v>
      </c>
      <c r="C29" s="34">
        <v>28.707999999999998</v>
      </c>
    </row>
    <row r="30" spans="1:6" x14ac:dyDescent="0.2">
      <c r="A30" s="36" t="s">
        <v>124</v>
      </c>
      <c r="B30" s="34" t="s">
        <v>124</v>
      </c>
      <c r="C30" s="34">
        <v>46.567</v>
      </c>
    </row>
    <row r="31" spans="1:6" x14ac:dyDescent="0.2">
      <c r="A31" s="36"/>
      <c r="B31" s="34" t="s">
        <v>125</v>
      </c>
      <c r="C31" s="34">
        <v>5.9249999999999998</v>
      </c>
      <c r="E31" s="35"/>
    </row>
    <row r="32" spans="1:6" x14ac:dyDescent="0.2">
      <c r="A32" s="36"/>
      <c r="B32" s="34" t="s">
        <v>126</v>
      </c>
      <c r="C32" s="34">
        <v>22.667000000000002</v>
      </c>
      <c r="E32" s="35"/>
    </row>
    <row r="33" spans="1:5" x14ac:dyDescent="0.2">
      <c r="A33" s="36" t="s">
        <v>127</v>
      </c>
      <c r="B33" s="34" t="s">
        <v>128</v>
      </c>
      <c r="C33" s="34">
        <v>51.755000000000003</v>
      </c>
    </row>
    <row r="34" spans="1:5" x14ac:dyDescent="0.2">
      <c r="A34" s="36"/>
      <c r="B34" s="34" t="s">
        <v>129</v>
      </c>
      <c r="C34" s="34">
        <v>0.373</v>
      </c>
      <c r="E34" s="35"/>
    </row>
    <row r="35" spans="1:5" x14ac:dyDescent="0.2">
      <c r="A35" s="36"/>
      <c r="B35" s="34" t="s">
        <v>130</v>
      </c>
      <c r="C35" s="34">
        <v>1.0269999999999999</v>
      </c>
      <c r="E35" s="35"/>
    </row>
    <row r="36" spans="1:5" x14ac:dyDescent="0.2">
      <c r="A36" s="36"/>
      <c r="B36" s="34" t="s">
        <v>131</v>
      </c>
      <c r="C36" s="34">
        <v>85.703000000000003</v>
      </c>
      <c r="E36" s="35"/>
    </row>
    <row r="37" spans="1:5" x14ac:dyDescent="0.2">
      <c r="A37" s="36"/>
      <c r="B37" s="34" t="s">
        <v>132</v>
      </c>
      <c r="C37" s="34">
        <v>39.384999999999998</v>
      </c>
      <c r="E37" s="35"/>
    </row>
    <row r="38" spans="1:5" x14ac:dyDescent="0.2">
      <c r="A38" s="37" t="s">
        <v>133</v>
      </c>
      <c r="B38" s="34" t="s">
        <v>134</v>
      </c>
      <c r="C38" s="34">
        <v>59.573999999999998</v>
      </c>
      <c r="E38" s="35"/>
    </row>
    <row r="39" spans="1:5" x14ac:dyDescent="0.2">
      <c r="A39" s="38"/>
      <c r="B39" s="34" t="s">
        <v>135</v>
      </c>
      <c r="C39" s="34">
        <v>94.233999999999995</v>
      </c>
    </row>
    <row r="40" spans="1:5" x14ac:dyDescent="0.2">
      <c r="A40" s="36" t="s">
        <v>136</v>
      </c>
      <c r="B40" s="34" t="s">
        <v>137</v>
      </c>
      <c r="C40" s="34">
        <v>41.933</v>
      </c>
    </row>
    <row r="41" spans="1:5" x14ac:dyDescent="0.2">
      <c r="A41" s="36"/>
      <c r="B41" s="34" t="s">
        <v>138</v>
      </c>
      <c r="C41" s="34">
        <v>15.237</v>
      </c>
      <c r="E41" s="35"/>
    </row>
    <row r="42" spans="1:5" x14ac:dyDescent="0.2">
      <c r="A42" s="36"/>
      <c r="B42" s="34" t="s">
        <v>139</v>
      </c>
      <c r="C42" s="34">
        <v>11.067</v>
      </c>
      <c r="E42" s="35"/>
    </row>
    <row r="43" spans="1:5" x14ac:dyDescent="0.2">
      <c r="A43" s="36"/>
      <c r="B43" s="34" t="s">
        <v>140</v>
      </c>
      <c r="C43" s="34">
        <v>2.8330000000000002</v>
      </c>
      <c r="E43" s="35"/>
    </row>
  </sheetData>
  <mergeCells count="10">
    <mergeCell ref="A33:A37"/>
    <mergeCell ref="A38:A39"/>
    <mergeCell ref="A40:A43"/>
    <mergeCell ref="A1:E1"/>
    <mergeCell ref="A5:A8"/>
    <mergeCell ref="A9:A13"/>
    <mergeCell ref="A16:A18"/>
    <mergeCell ref="A21:A22"/>
    <mergeCell ref="A23:A27"/>
    <mergeCell ref="A30:A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 NASA Vegetarian Menu</vt:lpstr>
      <vt:lpstr> NASA Mixed Menu</vt:lpstr>
      <vt:lpstr>BVAD Menu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Ekanayake, Jithran</dc:creator>
  <cp:lastModifiedBy>Ekanayake, Jithran</cp:lastModifiedBy>
  <dcterms:created xsi:type="dcterms:W3CDTF">2025-04-21T17:57:00Z</dcterms:created>
  <dcterms:modified xsi:type="dcterms:W3CDTF">2025-09-09T17:47:28Z</dcterms:modified>
</cp:coreProperties>
</file>